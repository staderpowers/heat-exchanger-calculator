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0AB831BC-A35B-40C1-AC23-4C082E5EF2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9" i="1"/>
  <c r="B10" i="1" s="1"/>
</calcChain>
</file>

<file path=xl/sharedStrings.xml><?xml version="1.0" encoding="utf-8"?>
<sst xmlns="http://schemas.openxmlformats.org/spreadsheetml/2006/main" count="11" uniqueCount="11">
  <si>
    <t>Input Variables</t>
  </si>
  <si>
    <t>Hot Inlet Temperature (Th_in) [°C]</t>
  </si>
  <si>
    <t>Hot Outlet Temperature (Th_out) [°C]</t>
  </si>
  <si>
    <t>Cold Inlet Temperature (Tc_in) [°C]</t>
  </si>
  <si>
    <t>Cold Outlet Temperature (Tc_out) [°C]</t>
  </si>
  <si>
    <t>Overall Heat Transfer Coefficient (U) [W/m²·K]</t>
  </si>
  <si>
    <t>Heat Duty (Q) [W]</t>
  </si>
  <si>
    <t>LMTD</t>
  </si>
  <si>
    <t>Required Area (A)</t>
  </si>
  <si>
    <t xml:space="preserve"> ΔT1 (hot inlet – cold outlet)</t>
  </si>
  <si>
    <t>ΔT2 (hot outlet – cold inlet)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</si>
</sst>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3" sqref="A3:B13"/>
    </sheetView>
  </sheetViews>
  <sheetFormatPr defaultRowHeight="15"/>
  <cols>
    <col min="1" max="1" width="39.140625" customWidth="1"/>
    <col min="2" max="2" width="24.42578125" customWidth="1"/>
  </cols>
  <sheetData>
    <row r="1" spans="1:2">
      <c r="A1" t="s">
        <v>0</v>
      </c>
    </row>
    <row r="3" spans="1:2">
      <c r="A3" s="1" t="s">
        <v>1</v>
      </c>
      <c r="B3" s="2">
        <v>150</v>
      </c>
    </row>
    <row r="4" spans="1:2">
      <c r="A4" s="1" t="s">
        <v>2</v>
      </c>
      <c r="B4" s="2">
        <v>100</v>
      </c>
    </row>
    <row r="5" spans="1:2">
      <c r="A5" s="1" t="s">
        <v>3</v>
      </c>
      <c r="B5" s="2">
        <v>25</v>
      </c>
    </row>
    <row r="6" spans="1:2">
      <c r="A6" s="1" t="s">
        <v>4</v>
      </c>
      <c r="B6" s="2">
        <v>60</v>
      </c>
    </row>
    <row r="7" spans="1:2">
      <c r="A7" s="1" t="s">
        <v>5</v>
      </c>
      <c r="B7" s="2">
        <v>300</v>
      </c>
    </row>
    <row r="8" spans="1:2">
      <c r="A8" s="1" t="s">
        <v>6</v>
      </c>
      <c r="B8" s="2">
        <v>50000</v>
      </c>
    </row>
    <row r="9" spans="1:2">
      <c r="A9" s="1" t="s">
        <v>7</v>
      </c>
      <c r="B9" s="3">
        <f>(B12 - B13) / LN(B12 / B13)</f>
        <v>82.272224216206169</v>
      </c>
    </row>
    <row r="10" spans="1:2">
      <c r="A10" s="1" t="s">
        <v>8</v>
      </c>
      <c r="B10" s="3">
        <f>B8 / (B7 * B9)</f>
        <v>2.0257950754883844</v>
      </c>
    </row>
    <row r="11" spans="1:2">
      <c r="A11" s="1"/>
      <c r="B11" s="1"/>
    </row>
    <row r="12" spans="1:2">
      <c r="A12" s="1" t="s">
        <v>9</v>
      </c>
      <c r="B12" s="1">
        <f>B3-B6</f>
        <v>90</v>
      </c>
    </row>
    <row r="13" spans="1:2">
      <c r="A13" s="1" t="s">
        <v>10</v>
      </c>
      <c r="B13" s="1">
        <f>B4-B5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2025-11-24T00:18:50Z</dcterms:created>
  <dcterms:modified xsi:type="dcterms:W3CDTF">2025-11-24T00:38:40Z</dcterms:modified>
  <cp:category/>
  <cp:contentStatus/>
</cp:coreProperties>
</file>